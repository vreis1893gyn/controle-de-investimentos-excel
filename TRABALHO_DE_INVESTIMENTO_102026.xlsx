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Planilha1" sheetId="1" r:id="rId1"/>
    <sheet name="Planilha2" sheetId="2" r:id="rId2"/>
  </sheets>
  <definedNames>
    <definedName name="_xlnm._FilterDatabase" localSheetId="0" hidden="1">Planilha1!$A$33:$F$60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<sst xmlns="http://schemas.openxmlformats.org/spreadsheetml/2006/main" count="83" uniqueCount="45">
  <si>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CONFIGURAÇÕES</t>
  </si>
  <si>
    <t xml:space="preserve">Sálario </t>
  </si>
  <si>
    <t>Rendimento Carteira</t>
  </si>
  <si>
    <t>Valor mínimo para Investir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</si>
  <si>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</si>
  <si>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</si>
  <si>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</si>
  <si>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</si>
  <si>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</si>
  <si>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</si>
  <si>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</si>
  <si>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</si>
  <si>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Quantos em 2 anos ?</t>
  </si>
  <si>
    <t>Quantos em 5 anos ?</t>
  </si>
  <si>
    <t>Quantos em 10 anos ?</t>
  </si>
  <si>
    <t>Quantos em 20 anos ?</t>
  </si>
  <si>
    <t>Quantos em 30 anos ?</t>
  </si>
  <si>
    <t>PERFIL</t>
  </si>
  <si>
    <t>MODERADO</t>
  </si>
  <si>
    <t>VALOR A SER INVESTIDO POR MÊS</t>
  </si>
  <si>
    <t>TIPO DE INVESTIMENTO</t>
  </si>
  <si>
    <t>PERCENTUAL SUGERIDO</t>
  </si>
  <si>
    <t>VALORES</t>
  </si>
  <si>
    <t>VALORES GRAFICO</t>
  </si>
  <si>
    <t xml:space="preserve">chave </t>
  </si>
  <si>
    <t xml:space="preserve">tipo de investimento </t>
  </si>
  <si>
    <t>%</t>
  </si>
  <si>
    <t>ORDEM_PERFIL</t>
  </si>
  <si>
    <t>CONSERVADOR</t>
  </si>
  <si>
    <t>Tesouro Selic</t>
  </si>
  <si>
    <t>CDB com liquidez diária</t>
  </si>
  <si>
    <t>LCI / LCA</t>
  </si>
  <si>
    <t>Fundos DI / renda fixa</t>
  </si>
  <si>
    <t>Tesouro IPCA+</t>
  </si>
  <si>
    <t>Tesouro Prefixado</t>
  </si>
  <si>
    <t>Debêntures</t>
  </si>
  <si>
    <t>Ouro</t>
  </si>
  <si>
    <t>FIIs</t>
  </si>
  <si>
    <t>FIAGRO</t>
  </si>
  <si>
    <t>Ações por setor</t>
  </si>
  <si>
    <t>BDRs</t>
  </si>
  <si>
    <t>ETFs internacionais</t>
  </si>
  <si>
    <t>ARROJADO</t>
  </si>
  <si>
    <t>Criptomoedas</t>
  </si>
  <si>
    <t>Opções / contratos futuros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</si>
</sst>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0.0%"/>
    <numFmt numFmtId="182" formatCode="&quot;R$&quot;\ #,##0.00;[Red]\-&quot;R$&quot;\ #,##0.00"/>
  </numFmts>
  <fonts count="3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trike/>
      <sz val="11"/>
      <color indexed="8"/>
      <name val="Calibri"/>
      <charset val="134"/>
    </font>
    <font>
      <b/>
      <sz val="14"/>
      <color indexed="9"/>
      <name val="Calibri"/>
      <charset val="134"/>
    </font>
    <font>
      <sz val="14"/>
      <color indexed="8"/>
      <name val="Calibri"/>
      <charset val="134"/>
      <scheme val="minor"/>
    </font>
    <font>
      <sz val="14"/>
      <color indexed="8"/>
      <name val="Calibri"/>
      <charset val="134"/>
    </font>
    <font>
      <b/>
      <sz val="14"/>
      <color indexed="8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6"/>
      <color indexed="9"/>
      <name val="Calibri"/>
      <charset val="134"/>
    </font>
    <font>
      <b/>
      <sz val="11"/>
      <color theme="5" tint="-0.249977111117893"/>
      <name val="Calibri"/>
      <charset val="134"/>
    </font>
    <font>
      <sz val="11"/>
      <color theme="1"/>
      <name val="Calibri"/>
      <charset val="134"/>
    </font>
    <font>
      <b/>
      <sz val="11"/>
      <color theme="5" tint="-0.25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93E4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 style="medium">
        <color rgb="FF00B050"/>
      </left>
      <right style="thin">
        <color auto="1"/>
      </right>
      <top style="medium">
        <color rgb="FF00B050"/>
      </top>
      <bottom/>
      <diagonal/>
    </border>
    <border>
      <left/>
      <right style="thin">
        <color auto="1"/>
      </right>
      <top style="medium">
        <color rgb="FF00B050"/>
      </top>
      <bottom/>
      <diagonal/>
    </border>
    <border>
      <left style="thin">
        <color auto="1"/>
      </left>
      <right/>
      <top style="medium">
        <color rgb="FF00B050"/>
      </top>
      <bottom/>
      <diagonal/>
    </border>
    <border>
      <left style="thin">
        <color auto="1"/>
      </left>
      <right/>
      <top style="medium">
        <color rgb="FF00B05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20" applyNumberFormat="0" applyAlignment="0" applyProtection="0">
      <alignment vertical="center"/>
    </xf>
    <xf numFmtId="0" fontId="22" fillId="9" borderId="21" applyNumberFormat="0" applyAlignment="0" applyProtection="0">
      <alignment vertical="center"/>
    </xf>
    <xf numFmtId="0" fontId="23" fillId="9" borderId="20" applyNumberFormat="0" applyAlignment="0" applyProtection="0">
      <alignment vertical="center"/>
    </xf>
    <xf numFmtId="0" fontId="24" fillId="10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4" borderId="4" xfId="0" applyFont="1" applyFill="1" applyBorder="1" applyAlignment="1">
      <alignment horizontal="center"/>
    </xf>
    <xf numFmtId="0" fontId="0" fillId="0" borderId="5" xfId="0" applyBorder="1"/>
    <xf numFmtId="180" fontId="4" fillId="4" borderId="6" xfId="0" applyNumberFormat="1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181" fontId="4" fillId="4" borderId="8" xfId="0" applyNumberFormat="1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0" borderId="10" xfId="0" applyBorder="1"/>
    <xf numFmtId="180" fontId="4" fillId="4" borderId="11" xfId="0" applyNumberFormat="1" applyFont="1" applyFill="1" applyBorder="1" applyAlignment="1">
      <alignment horizontal="center"/>
    </xf>
    <xf numFmtId="0" fontId="5" fillId="0" borderId="0" xfId="0" applyFont="1"/>
    <xf numFmtId="0" fontId="3" fillId="3" borderId="1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10" fontId="4" fillId="4" borderId="8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82" fontId="6" fillId="4" borderId="8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182" fontId="6" fillId="4" borderId="11" xfId="0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0" fillId="0" borderId="14" xfId="0" applyBorder="1"/>
    <xf numFmtId="0" fontId="3" fillId="3" borderId="15" xfId="0" applyFont="1" applyFill="1" applyBorder="1" applyAlignment="1">
      <alignment vertical="center"/>
    </xf>
    <xf numFmtId="0" fontId="7" fillId="0" borderId="0" xfId="0" applyFont="1"/>
    <xf numFmtId="180" fontId="4" fillId="4" borderId="5" xfId="0" applyNumberFormat="1" applyFont="1" applyFill="1" applyBorder="1" applyAlignment="1">
      <alignment horizontal="center"/>
    </xf>
    <xf numFmtId="180" fontId="4" fillId="4" borderId="0" xfId="0" applyNumberFormat="1" applyFont="1" applyFill="1" applyAlignment="1">
      <alignment horizontal="center"/>
    </xf>
    <xf numFmtId="180" fontId="4" fillId="4" borderId="8" xfId="0" applyNumberFormat="1" applyFont="1" applyFill="1" applyBorder="1" applyAlignment="1">
      <alignment horizontal="center"/>
    </xf>
    <xf numFmtId="180" fontId="4" fillId="4" borderId="10" xfId="0" applyNumberFormat="1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/>
    </xf>
    <xf numFmtId="180" fontId="9" fillId="6" borderId="0" xfId="0" applyNumberFormat="1" applyFont="1" applyFill="1" applyAlignment="1">
      <alignment horizontal="center"/>
    </xf>
    <xf numFmtId="0" fontId="1" fillId="6" borderId="0" xfId="0" applyFont="1" applyFill="1"/>
    <xf numFmtId="0" fontId="8" fillId="5" borderId="0" xfId="0" applyFont="1" applyFill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left"/>
    </xf>
    <xf numFmtId="9" fontId="9" fillId="0" borderId="0" xfId="0" applyNumberFormat="1" applyFont="1" applyAlignment="1">
      <alignment horizontal="center"/>
    </xf>
    <xf numFmtId="180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/>
    </xf>
    <xf numFmtId="9" fontId="11" fillId="0" borderId="0" xfId="0" applyNumberFormat="1" applyFont="1" applyAlignment="1">
      <alignment horizontal="center"/>
    </xf>
    <xf numFmtId="180" fontId="11" fillId="0" borderId="0" xfId="0" applyNumberFormat="1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/>
    </xf>
    <xf numFmtId="9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75000"/>
                  </a:schemeClr>
                </a:solidFill>
              </a:rPr>
              <a:t>INVESTIMENTO</a:t>
            </a:r>
            <a:r>
              <a:rPr lang="en-US" b="1" baseline="0">
                <a:solidFill>
                  <a:schemeClr val="accent2">
                    <a:lumMod val="75000"/>
                  </a:schemeClr>
                </a:solidFill>
              </a:rPr>
              <a:t> PERÍODO</a:t>
            </a:r>
            <a:endParaRPr lang="en-US" b="1">
              <a:solidFill>
                <a:schemeClr val="accent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255224515854437"/>
          <c:y val="0.237963189557267"/>
          <c:w val="0.720000709370788"/>
          <c:h val="0.72054695333178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tint val="77000"/>
              </a:schemeClr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Planilha1!$B$34:$B$45</c:f>
              <c:strCache>
                <c:ptCount val="12"/>
                <c:pt idx="0">
                  <c:v>CDB com liquidez diária</c:v>
                </c:pt>
                <c:pt idx="1">
                  <c:v>LCI / LCA</c:v>
                </c:pt>
                <c:pt idx="2">
                  <c:v>Tesouro Selic</c:v>
                </c:pt>
                <c:pt idx="3">
                  <c:v>Tesouro IPCA+</c:v>
                </c:pt>
                <c:pt idx="4">
                  <c:v>Tesouro Prefixado</c:v>
                </c:pt>
                <c:pt idx="5">
                  <c:v>FIIs</c:v>
                </c:pt>
                <c:pt idx="6">
                  <c:v>FIAGRO</c:v>
                </c:pt>
                <c:pt idx="7">
                  <c:v>Ações por setor</c:v>
                </c:pt>
                <c:pt idx="8">
                  <c:v>BDRs</c:v>
                </c:pt>
                <c:pt idx="9">
                  <c:v>ETFs internacionais</c:v>
                </c:pt>
                <c:pt idx="10">
                  <c:v>Ouro</c:v>
                </c:pt>
                <c:pt idx="11">
                  <c:v>Fundos DI / renda fixa</c:v>
                </c:pt>
              </c:strCache>
            </c:strRef>
          </c:cat>
          <c:val>
            <c:numRef>
              <c:f>Planilha1!$E$34:$E$45</c:f>
              <c:numCache>
                <c:formatCode>General</c:formatCode>
                <c:ptCount val="12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105</c:v>
                </c:pt>
                <c:pt idx="4">
                  <c:v>35</c:v>
                </c:pt>
                <c:pt idx="5">
                  <c:v>56</c:v>
                </c:pt>
                <c:pt idx="6">
                  <c:v>28</c:v>
                </c:pt>
                <c:pt idx="7">
                  <c:v>84</c:v>
                </c:pt>
                <c:pt idx="8">
                  <c:v>35</c:v>
                </c:pt>
                <c:pt idx="9">
                  <c:v>70</c:v>
                </c:pt>
                <c:pt idx="10">
                  <c:v>21</c:v>
                </c:pt>
                <c:pt idx="11">
                  <c:v>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525352"/>
        <c:axId val="462529928"/>
      </c:barChart>
      <c:catAx>
        <c:axId val="462525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12700" cap="flat" cmpd="sng" algn="ctr">
            <a:solidFill>
              <a:schemeClr val="tx1">
                <a:lumMod val="15000"/>
                <a:lumOff val="85000"/>
                <a:alpha val="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529928"/>
        <c:crosses val="autoZero"/>
        <c:auto val="1"/>
        <c:lblAlgn val="ctr"/>
        <c:lblOffset val="100"/>
        <c:noMultiLvlLbl val="0"/>
      </c:catAx>
      <c:valAx>
        <c:axId val="462529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252535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891318b-7f88-4e41-9588-0f672f72bdb1}"/>
      </c:ext>
    </c:extLst>
  </c:chart>
  <c:spPr>
    <a:solidFill>
      <a:schemeClr val="bg1"/>
    </a:solidFill>
    <a:ln w="9525" cap="flat" cmpd="sng" algn="ctr">
      <a:noFill/>
      <a:prstDash val="solid"/>
      <a:round/>
    </a:ln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323850</xdr:colOff>
      <xdr:row>46</xdr:row>
      <xdr:rowOff>146685</xdr:rowOff>
    </xdr:from>
    <xdr:to>
      <xdr:col>4</xdr:col>
      <xdr:colOff>390525</xdr:colOff>
      <xdr:row>65</xdr:row>
      <xdr:rowOff>65405</xdr:rowOff>
    </xdr:to>
    <xdr:graphicFrame>
      <xdr:nvGraphicFramePr>
        <xdr:cNvPr id="2" name="Chart 1"/>
        <xdr:cNvGraphicFramePr/>
      </xdr:nvGraphicFramePr>
      <xdr:xfrm>
        <a:off x="933450" y="10024110"/>
        <a:ext cx="5676900" cy="3538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219075</xdr:colOff>
      <xdr:row>0</xdr:row>
      <xdr:rowOff>0</xdr:rowOff>
    </xdr:from>
    <xdr:to>
      <xdr:col>4</xdr:col>
      <xdr:colOff>960755</xdr:colOff>
      <xdr:row>7</xdr:row>
      <xdr:rowOff>131445</xdr:rowOff>
    </xdr:to>
    <xdr:pic>
      <xdr:nvPicPr>
        <xdr:cNvPr id="3" name="Imagem 2" descr="Imagem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" y="0"/>
          <a:ext cx="6961505" cy="146494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:F61"/>
  <sheetViews>
    <sheetView showGridLines="0" tabSelected="1" topLeftCell="A25" workbookViewId="0">
      <selection activeCell="F53" sqref="F53"/>
    </sheetView>
  </sheetViews>
  <sheetFormatPr defaultColWidth="0" defaultRowHeight="15" outlineLevelCol="5"/>
  <cols>
    <col min="1" max="1" width="9.14285714285714" customWidth="1"/>
    <col min="2" max="2" width="31.7142857142857" customWidth="1"/>
    <col min="3" max="3" width="32.1428571428571" customWidth="1"/>
    <col min="4" max="4" width="20.2857142857143" customWidth="1"/>
    <col min="5" max="5" width="18.8571428571429" style="5" customWidth="1"/>
    <col min="6" max="6" width="9.14285714285714" style="5" customWidth="1"/>
    <col min="7" max="16384" width="9.14285714285714" hidden="1" customWidth="1"/>
  </cols>
  <sheetData>
    <row r="9" ht="15.75" customHeight="1"/>
    <row r="10" ht="19.5" customHeight="1" spans="2:4">
      <c r="B10" s="6" t="s">
        <v>0</v>
      </c>
      <c r="C10" s="7"/>
      <c r="D10" s="8"/>
    </row>
    <row r="11" ht="18.75" customHeight="1" spans="2:4">
      <c r="B11" s="9" t="s">
        <v>1</v>
      </c>
      <c r="C11" s="10"/>
      <c r="D11" s="11">
        <v>3500</v>
      </c>
    </row>
    <row r="12" ht="18.75" customHeight="1" spans="2:4">
      <c r="B12" s="12" t="s">
        <v>2</v>
      </c>
      <c r="D12" s="13">
        <v>0.008</v>
      </c>
    </row>
    <row r="13" ht="19.5" customHeight="1" spans="2:4">
      <c r="B13" s="14" t="s">
        <v>3</v>
      </c>
      <c r="C13" s="15"/>
      <c r="D13" s="16">
        <f>D11*20%</f>
        <v>700</v>
      </c>
    </row>
    <row r="14" ht="19.5" customHeight="1" spans="2:4">
      <c r="B14" s="17"/>
      <c r="C14" s="17"/>
      <c r="D14" s="17"/>
    </row>
    <row r="15" ht="19.5" customHeight="1" spans="2:4">
      <c r="B15" s="18" t="s">
        <v>4</v>
      </c>
      <c r="C15" s="7"/>
      <c r="D15" s="7"/>
    </row>
    <row r="16" ht="18.75" customHeight="1" spans="2:4">
      <c r="B16" s="9" t="s">
        <v>5</v>
      </c>
      <c r="C16" s="10"/>
      <c r="D16" s="11">
        <v>700</v>
      </c>
    </row>
    <row r="17" ht="18.75" customHeight="1" spans="1:4">
      <c r="B17" s="12" t="s">
        <v>6</v>
      </c>
      <c r="D17" s="19">
        <v>20</v>
      </c>
    </row>
    <row r="18" ht="18.75" customHeight="1" spans="1:4">
      <c r="B18" s="12" t="s">
        <v>7</v>
      </c>
      <c r="D18" s="20">
        <v>0.01079</v>
      </c>
    </row>
    <row r="19" ht="18.75" customHeight="1" spans="1:4">
      <c r="B19" s="21" t="s">
        <v>8</v>
      </c>
      <c r="D19" s="22">
        <f>FV(D18,D17*12,D16*-1)</f>
        <v>787638.880067951</v>
      </c>
    </row>
    <row r="20" ht="19.5" customHeight="1" spans="1:4">
      <c r="B20" s="23" t="s">
        <v>9</v>
      </c>
      <c r="C20" s="15"/>
      <c r="D20" s="24">
        <f>D19*1%</f>
        <v>7876.38880067951</v>
      </c>
    </row>
    <row r="21" ht="19.5" customHeight="1" spans="1:4">
      <c r="B21" s="17"/>
      <c r="C21" s="17"/>
      <c r="D21" s="17"/>
    </row>
    <row r="22" ht="19.5" customHeight="1" spans="1:4">
      <c r="B22" s="25" t="s">
        <v>10</v>
      </c>
      <c r="C22" s="26"/>
      <c r="D22" s="27" t="s">
        <v>11</v>
      </c>
    </row>
    <row r="23" ht="18.75" customHeight="1" spans="1:4">
      <c r="A23" s="28">
        <v>2</v>
      </c>
      <c r="B23" s="9" t="s">
        <v>12</v>
      </c>
      <c r="C23" s="29">
        <f>FV(D$18,$A23*12,$D$16*-1)</f>
        <v>19059.3391083516</v>
      </c>
      <c r="D23" s="11">
        <f>C23*1%</f>
        <v>190.593391083516</v>
      </c>
    </row>
    <row r="24" ht="18.75" customHeight="1" spans="1:4">
      <c r="A24" s="28">
        <v>5</v>
      </c>
      <c r="B24" s="12" t="s">
        <v>13</v>
      </c>
      <c r="C24" s="30">
        <f>FV(D$18,$A24*12,$D$16*-1)</f>
        <v>58643.8397989412</v>
      </c>
      <c r="D24" s="31">
        <f>C24*1%</f>
        <v>586.438397989412</v>
      </c>
    </row>
    <row r="25" ht="18.75" customHeight="1" spans="1:4">
      <c r="A25" s="28">
        <v>10</v>
      </c>
      <c r="B25" s="12" t="s">
        <v>14</v>
      </c>
      <c r="C25" s="30">
        <f>FV(D$18,$A25*12,$D$16*-1)</f>
        <v>170298.94877112</v>
      </c>
      <c r="D25" s="31">
        <f>C25*1%</f>
        <v>1702.9894877112</v>
      </c>
    </row>
    <row r="26" ht="18.75" customHeight="1" spans="1:4">
      <c r="A26" s="28">
        <v>20</v>
      </c>
      <c r="B26" s="12" t="s">
        <v>15</v>
      </c>
      <c r="C26" s="30">
        <f>FV(D$18,$A26*12,$D$16*-1)</f>
        <v>787638.880067951</v>
      </c>
      <c r="D26" s="31">
        <f>C26*1%</f>
        <v>7876.38880067951</v>
      </c>
    </row>
    <row r="27" ht="19.5" customHeight="1" spans="1:4">
      <c r="A27" s="28">
        <v>30</v>
      </c>
      <c r="B27" s="14" t="s">
        <v>16</v>
      </c>
      <c r="C27" s="32">
        <f>FV(D$18,$A27*12,$D$16*-1)</f>
        <v>3025518.75850327</v>
      </c>
      <c r="D27" s="16">
        <f>C27*1%</f>
        <v>30255.1875850327</v>
      </c>
    </row>
    <row r="28" spans="1:4">
      <c r="B28" s="1"/>
      <c r="C28" s="1"/>
      <c r="D28" s="1"/>
    </row>
    <row r="29" ht="15.75" customHeight="1" spans="1:4">
      <c r="B29" s="1"/>
      <c r="C29" s="1"/>
      <c r="D29" s="1"/>
    </row>
    <row r="30" ht="21.75" customHeight="1" spans="1:4">
      <c r="B30" s="33" t="s">
        <v>17</v>
      </c>
      <c r="C30" s="34" t="s">
        <v>18</v>
      </c>
      <c r="D30" s="34"/>
    </row>
    <row r="31" spans="1:4">
      <c r="B31" s="35" t="s">
        <v>19</v>
      </c>
      <c r="C31" s="36">
        <v>700</v>
      </c>
      <c r="D31" s="37"/>
    </row>
    <row r="32" spans="1:4">
      <c r="B32" s="1"/>
      <c r="C32" s="1"/>
      <c r="D32" s="1"/>
    </row>
    <row r="33" ht="21" customHeight="1" spans="2:6">
      <c r="B33" s="38" t="s">
        <v>20</v>
      </c>
      <c r="C33" s="38" t="s">
        <v>21</v>
      </c>
      <c r="D33" s="38" t="s">
        <v>22</v>
      </c>
      <c r="E33" s="39" t="s">
        <v>23</v>
      </c>
    </row>
    <row r="34" spans="2:6">
      <c r="B34" s="40" t="str">
        <f>IFERROR(INDEX(Planilha2!$C$2:$C$28,MATCH(ROWS($B$34:B34),Planilha2!$E$2:$E$28,0)),"")</f>
        <v>CDB com liquidez diária</v>
      </c>
      <c r="C34" s="41">
        <f>IF(B34="","",INDEX(Planilha2!$D$2:$D$28,MATCH(ROWS($B$34:B34),Planilha2!$E$2:$E$28,0)))</f>
        <v>0.1</v>
      </c>
      <c r="D34" s="42">
        <f>IF(B34="","",C34*$C$31)</f>
        <v>70</v>
      </c>
      <c r="E34" s="28">
        <f>IF(D34=0,NA(),D34)</f>
        <v>70</v>
      </c>
      <c r="F34" s="43"/>
    </row>
    <row r="35" spans="2:6">
      <c r="B35" s="40" t="str">
        <f>IFERROR(INDEX(Planilha2!$C$2:$C$28,MATCH(ROWS($B$34:B35),Planilha2!$E$2:$E$28,0)),"")</f>
        <v>LCI / LCA</v>
      </c>
      <c r="C35" s="41">
        <f>IF(B35="","",INDEX(Planilha2!$D$2:$D$28,MATCH(ROWS($B$34:B35),Planilha2!$E$2:$E$28,0)))</f>
        <v>0.1</v>
      </c>
      <c r="D35" s="42">
        <f>IF(B35="","",C35*$C$31)</f>
        <v>70</v>
      </c>
      <c r="E35" s="28">
        <f>IF(D35=0,NA(),D35)</f>
        <v>70</v>
      </c>
      <c r="F35" s="43"/>
    </row>
    <row r="36" spans="2:6">
      <c r="B36" s="44" t="str">
        <f>IFERROR(INDEX(Planilha2!$C$2:$C$28,MATCH(ROWS($B$34:B36),Planilha2!$E$2:$E$28,0)),"")</f>
        <v>Tesouro Selic</v>
      </c>
      <c r="C36" s="45">
        <f>IF(B36="","",INDEX(Planilha2!$D$2:$D$28,MATCH(ROWS($B$34:B36),Planilha2!$E$2:$E$28,0)))</f>
        <v>0.1</v>
      </c>
      <c r="D36" s="46">
        <f>IF(B36="","",C36*$C$31)</f>
        <v>70</v>
      </c>
      <c r="E36" s="28">
        <f>IF(D36=0,NA(),D36)</f>
        <v>70</v>
      </c>
      <c r="F36" s="43"/>
    </row>
    <row r="37" spans="2:6">
      <c r="B37" s="40" t="str">
        <f>IFERROR(INDEX(Planilha2!$C$2:$C$28,MATCH(ROWS($B$34:B37),Planilha2!$E$2:$E$28,0)),"")</f>
        <v>Tesouro IPCA+</v>
      </c>
      <c r="C37" s="41">
        <f>IF(B37="","",INDEX(Planilha2!$D$2:$D$28,MATCH(ROWS($B$34:B37),Planilha2!$E$2:$E$28,0)))</f>
        <v>0.15</v>
      </c>
      <c r="D37" s="42">
        <f>IF(B37="","",C37*$C$31)</f>
        <v>105</v>
      </c>
      <c r="E37" s="28">
        <f>IF(D37=0,NA(),D37)</f>
        <v>105</v>
      </c>
      <c r="F37" s="43"/>
    </row>
    <row r="38" spans="2:6">
      <c r="B38" s="40" t="str">
        <f>IFERROR(INDEX(Planilha2!$C$2:$C$28,MATCH(ROWS($B$34:B38),Planilha2!$E$2:$E$28,0)),"")</f>
        <v>Tesouro Prefixado</v>
      </c>
      <c r="C38" s="41">
        <f>IF(B38="","",INDEX(Planilha2!$D$2:$D$28,MATCH(ROWS($B$34:B38),Planilha2!$E$2:$E$28,0)))</f>
        <v>0.05</v>
      </c>
      <c r="D38" s="42">
        <f>IF(B38="","",C38*$C$31)</f>
        <v>35</v>
      </c>
      <c r="E38" s="28">
        <f>IF(D38=0,NA(),D38)</f>
        <v>35</v>
      </c>
      <c r="F38" s="43"/>
    </row>
    <row r="39" spans="2:6">
      <c r="B39" s="40" t="str">
        <f>IFERROR(INDEX(Planilha2!$C$2:$C$28,MATCH(ROWS($B$34:B39),Planilha2!$E$2:$E$28,0)),"")</f>
        <v>FIIs</v>
      </c>
      <c r="C39" s="41">
        <f>IF(B39="","",INDEX(Planilha2!$D$2:$D$28,MATCH(ROWS($B$34:B39),Planilha2!$E$2:$E$28,0)))</f>
        <v>0.08</v>
      </c>
      <c r="D39" s="42">
        <f>IF(B39="","",C39*$C$31)</f>
        <v>56</v>
      </c>
      <c r="E39" s="28">
        <f>IF(D39=0,NA(),D39)</f>
        <v>56</v>
      </c>
      <c r="F39" s="43"/>
    </row>
    <row r="40" spans="2:6">
      <c r="B40" s="40" t="str">
        <f>IFERROR(INDEX(Planilha2!$C$2:$C$28,MATCH(ROWS($B$34:B40),Planilha2!$E$2:$E$28,0)),"")</f>
        <v>FIAGRO</v>
      </c>
      <c r="C40" s="41">
        <f>IF(B40="","",INDEX(Planilha2!$D$2:$D$28,MATCH(ROWS($B$34:B40),Planilha2!$E$2:$E$28,0)))</f>
        <v>0.04</v>
      </c>
      <c r="D40" s="42">
        <f>IF(B40="","",C40*$C$31)</f>
        <v>28</v>
      </c>
      <c r="E40" s="28">
        <f>IF(D40=0,NA(),D40)</f>
        <v>28</v>
      </c>
      <c r="F40" s="43"/>
    </row>
    <row r="41" spans="2:6">
      <c r="B41" s="40" t="str">
        <f>IFERROR(INDEX(Planilha2!$C$2:$C$28,MATCH(ROWS($B$34:B41),Planilha2!$E$2:$E$28,0)),"")</f>
        <v>Ações por setor</v>
      </c>
      <c r="C41" s="41">
        <f>IF(B41="","",INDEX(Planilha2!$D$2:$D$28,MATCH(ROWS($B$34:B41),Planilha2!$E$2:$E$28,0)))</f>
        <v>0.12</v>
      </c>
      <c r="D41" s="42">
        <f>IF(B41="","",C41*$C$31)</f>
        <v>84</v>
      </c>
      <c r="E41" s="28">
        <f>IF(D41=0,NA(),D41)</f>
        <v>84</v>
      </c>
      <c r="F41" s="43"/>
    </row>
    <row r="42" spans="2:6">
      <c r="B42" s="40" t="str">
        <f>IFERROR(INDEX(Planilha2!$C$2:$C$28,MATCH(ROWS($B$34:B42),Planilha2!$E$2:$E$28,0)),"")</f>
        <v>BDRs</v>
      </c>
      <c r="C42" s="41">
        <f>IF(B42="","",INDEX(Planilha2!$D$2:$D$28,MATCH(ROWS($B$34:B42),Planilha2!$E$2:$E$28,0)))</f>
        <v>0.05</v>
      </c>
      <c r="D42" s="42">
        <f>IF(B42="","",C42*$C$31)</f>
        <v>35</v>
      </c>
      <c r="E42" s="28">
        <f>IF(D42=0,NA(),D42)</f>
        <v>35</v>
      </c>
      <c r="F42" s="43"/>
    </row>
    <row r="43" spans="2:6">
      <c r="B43" s="40" t="str">
        <f>IFERROR(INDEX(Planilha2!$C$2:$C$28,MATCH(ROWS($B$34:B43),Planilha2!$E$2:$E$28,0)),"")</f>
        <v>ETFs internacionais</v>
      </c>
      <c r="C43" s="41">
        <f>IF(B43="","",INDEX(Planilha2!$D$2:$D$28,MATCH(ROWS($B$34:B43),Planilha2!$E$2:$E$28,0)))</f>
        <v>0.1</v>
      </c>
      <c r="D43" s="42">
        <f>IF(B43="","",C43*$C$31)</f>
        <v>70</v>
      </c>
      <c r="E43" s="28">
        <f>IF(D43=0,NA(),D43)</f>
        <v>70</v>
      </c>
      <c r="F43" s="43"/>
    </row>
    <row r="44" spans="2:6">
      <c r="B44" s="40" t="str">
        <f>IFERROR(INDEX(Planilha2!$C$2:$C$28,MATCH(ROWS($B$34:B44),Planilha2!$E$2:$E$28,0)),"")</f>
        <v>Ouro</v>
      </c>
      <c r="C44" s="41">
        <f>IF(B44="","",INDEX(Planilha2!$D$2:$D$28,MATCH(ROWS($B$34:B44),Planilha2!$E$2:$E$28,0)))</f>
        <v>0.03</v>
      </c>
      <c r="D44" s="42">
        <f>IF(B44="","",C44*$C$31)</f>
        <v>21</v>
      </c>
      <c r="E44" s="28">
        <f>IF(D44=0,NA(),D44)</f>
        <v>21</v>
      </c>
      <c r="F44" s="43"/>
    </row>
    <row r="45" spans="2:6">
      <c r="B45" s="40" t="str">
        <f>IFERROR(INDEX(Planilha2!$C$2:$C$28,MATCH(ROWS($B$34:B45),Planilha2!$E$2:$E$28,0)),"")</f>
        <v>Fundos DI / renda fixa</v>
      </c>
      <c r="C45" s="41">
        <f>IF(B45="","",INDEX(Planilha2!$D$2:$D$28,MATCH(ROWS($B$34:B45),Planilha2!$E$2:$E$28,0)))</f>
        <v>0.08</v>
      </c>
      <c r="D45" s="42">
        <f>IF(B45="","",C45*$C$31)</f>
        <v>56</v>
      </c>
      <c r="E45" s="28">
        <f>IF(D45=0,NA(),D45)</f>
        <v>56</v>
      </c>
      <c r="F45" s="43"/>
    </row>
    <row r="46" spans="2:6">
      <c r="B46" s="40" t="str">
        <f>IFERROR(INDEX(Planilha2!$C$2:$C$28,MATCH(ROWS($B$34:B46),Planilha2!$E$2:$E$28,0)),"")</f>
        <v/>
      </c>
      <c r="C46" s="41" t="str">
        <f>IF(B46="","",INDEX(Planilha2!$D$2:$D$28,MATCH(ROWS($B$34:B46),Planilha2!$E$2:$E$28,0)))</f>
        <v/>
      </c>
      <c r="D46" s="42" t="str">
        <f>IF(B46="","",C46*$C$31)</f>
        <v/>
      </c>
      <c r="E46" s="47" t="str">
        <f>IF(D46=0,NA(),D46)</f>
        <v/>
      </c>
      <c r="F46" s="43"/>
    </row>
    <row r="47" spans="2:6">
      <c r="B47" s="48" t="str">
        <f>IFERROR(INDEX(Planilha2!$C$2:$C$28,MATCH(ROWS($B$34:B47),Planilha2!$E$2:$E$28,0)),"")</f>
        <v/>
      </c>
      <c r="C47" s="49" t="str">
        <f>IF(B47="","",INDEX(Planilha2!$D$2:$D$28,MATCH(ROWS($B$34:B47),Planilha2!$E$2:$E$28,0)))</f>
        <v/>
      </c>
      <c r="D47" s="50" t="str">
        <f t="shared" ref="D34:D60" si="0">IF(B47="","",C47*$C$31)</f>
        <v/>
      </c>
      <c r="F47" s="43"/>
    </row>
    <row r="48" spans="2:6">
      <c r="B48" s="48" t="str">
        <f>IFERROR(INDEX(Planilha2!$C$2:$C$28,MATCH(ROWS($B$34:B48),Planilha2!$E$2:$E$28,0)),"")</f>
        <v/>
      </c>
      <c r="C48" s="49" t="str">
        <f>IF(B48="","",INDEX(Planilha2!$D$2:$D$28,MATCH(ROWS($B$34:B48),Planilha2!$E$2:$E$28,0)))</f>
        <v/>
      </c>
      <c r="D48" s="50" t="str">
        <f t="shared" si="0"/>
        <v/>
      </c>
      <c r="F48" s="43"/>
    </row>
    <row r="49" spans="2:6">
      <c r="B49" s="48" t="str">
        <f>IFERROR(INDEX(Planilha2!$C$2:$C$28,MATCH(ROWS($B$34:B49),Planilha2!$E$2:$E$28,0)),"")</f>
        <v/>
      </c>
      <c r="C49" s="49" t="str">
        <f>IF(B49="","",INDEX(Planilha2!$D$2:$D$28,MATCH(ROWS($B$34:B49),Planilha2!$E$2:$E$28,0)))</f>
        <v/>
      </c>
      <c r="D49" s="50" t="str">
        <f t="shared" si="0"/>
        <v/>
      </c>
      <c r="F49" s="43"/>
    </row>
    <row r="50" spans="2:6">
      <c r="B50" s="48" t="str">
        <f>IFERROR(INDEX(Planilha2!$C$2:$C$28,MATCH(ROWS($B$34:B50),Planilha2!$E$2:$E$28,0)),"")</f>
        <v/>
      </c>
      <c r="C50" s="49" t="str">
        <f>IF(B50="","",INDEX(Planilha2!$D$2:$D$28,MATCH(ROWS($B$34:B50),Planilha2!$E$2:$E$28,0)))</f>
        <v/>
      </c>
      <c r="D50" s="50" t="str">
        <f t="shared" si="0"/>
        <v/>
      </c>
      <c r="F50" s="43"/>
    </row>
    <row r="51" spans="2:6">
      <c r="B51" s="48" t="str">
        <f>IFERROR(INDEX(Planilha2!$C$2:$C$28,MATCH(ROWS($B$34:B51),Planilha2!$E$2:$E$28,0)),"")</f>
        <v/>
      </c>
      <c r="C51" s="49" t="str">
        <f>IF(B51="","",INDEX(Planilha2!$D$2:$D$28,MATCH(ROWS($B$34:B51),Planilha2!$E$2:$E$28,0)))</f>
        <v/>
      </c>
      <c r="D51" s="50" t="str">
        <f t="shared" si="0"/>
        <v/>
      </c>
      <c r="F51" s="43"/>
    </row>
    <row r="52" spans="2:6">
      <c r="B52" s="48" t="str">
        <f>IFERROR(INDEX(Planilha2!$C$2:$C$28,MATCH(ROWS($B$34:B52),Planilha2!$E$2:$E$28,0)),"")</f>
        <v/>
      </c>
      <c r="C52" s="49" t="str">
        <f>IF(B52="","",INDEX(Planilha2!$D$2:$D$28,MATCH(ROWS($B$34:B52),Planilha2!$E$2:$E$28,0)))</f>
        <v/>
      </c>
      <c r="D52" s="50" t="str">
        <f t="shared" si="0"/>
        <v/>
      </c>
      <c r="F52" s="43"/>
    </row>
    <row r="53" spans="2:6">
      <c r="B53" s="48" t="str">
        <f>IFERROR(INDEX(Planilha2!$C$2:$C$28,MATCH(ROWS($B$34:B53),Planilha2!$E$2:$E$28,0)),"")</f>
        <v/>
      </c>
      <c r="C53" s="49" t="str">
        <f>IF(B53="","",INDEX(Planilha2!$D$2:$D$28,MATCH(ROWS($B$34:B53),Planilha2!$E$2:$E$28,0)))</f>
        <v/>
      </c>
      <c r="D53" s="50" t="str">
        <f t="shared" si="0"/>
        <v/>
      </c>
      <c r="F53" s="43"/>
    </row>
    <row r="54" spans="2:6">
      <c r="B54" s="48" t="str">
        <f>IFERROR(INDEX(Planilha2!$C$2:$C$28,MATCH(ROWS($B$34:B54),Planilha2!$E$2:$E$28,0)),"")</f>
        <v/>
      </c>
      <c r="C54" s="49" t="str">
        <f>IF(B54="","",INDEX(Planilha2!$D$2:$D$28,MATCH(ROWS($B$34:B54),Planilha2!$E$2:$E$28,0)))</f>
        <v/>
      </c>
      <c r="D54" s="50" t="str">
        <f t="shared" si="0"/>
        <v/>
      </c>
      <c r="F54" s="43"/>
    </row>
    <row r="55" spans="2:6">
      <c r="B55" s="48" t="str">
        <f>IFERROR(INDEX(Planilha2!$C$2:$C$28,MATCH(ROWS($B$34:B55),Planilha2!$E$2:$E$28,0)),"")</f>
        <v/>
      </c>
      <c r="C55" s="49" t="str">
        <f>IF(B55="","",INDEX(Planilha2!$D$2:$D$28,MATCH(ROWS($B$34:B55),Planilha2!$E$2:$E$28,0)))</f>
        <v/>
      </c>
      <c r="D55" s="50" t="str">
        <f t="shared" si="0"/>
        <v/>
      </c>
      <c r="F55" s="43"/>
    </row>
    <row r="56" spans="2:6">
      <c r="B56" s="48" t="str">
        <f>IFERROR(INDEX(Planilha2!$C$2:$C$28,MATCH(ROWS($B$34:B56),Planilha2!$E$2:$E$28,0)),"")</f>
        <v/>
      </c>
      <c r="C56" s="49" t="str">
        <f>IF(B56="","",INDEX(Planilha2!$D$2:$D$28,MATCH(ROWS($B$34:B56),Planilha2!$E$2:$E$28,0)))</f>
        <v/>
      </c>
      <c r="D56" s="50" t="str">
        <f t="shared" si="0"/>
        <v/>
      </c>
      <c r="F56" s="43"/>
    </row>
    <row r="57" spans="2:6">
      <c r="B57" s="48" t="str">
        <f>IFERROR(INDEX(Planilha2!$C$2:$C$28,MATCH(ROWS($B$34:B57),Planilha2!$E$2:$E$28,0)),"")</f>
        <v/>
      </c>
      <c r="C57" s="49" t="str">
        <f>IF(B57="","",INDEX(Planilha2!$D$2:$D$28,MATCH(ROWS($B$34:B57),Planilha2!$E$2:$E$28,0)))</f>
        <v/>
      </c>
      <c r="D57" s="50" t="str">
        <f t="shared" si="0"/>
        <v/>
      </c>
      <c r="F57" s="43"/>
    </row>
    <row r="58" spans="2:6">
      <c r="B58" s="48" t="str">
        <f>IFERROR(INDEX(Planilha2!$C$2:$C$28,MATCH(ROWS($B$34:B58),Planilha2!$E$2:$E$28,0)),"")</f>
        <v/>
      </c>
      <c r="C58" s="49" t="str">
        <f>IF(B58="","",INDEX(Planilha2!$D$2:$D$28,MATCH(ROWS($B$34:B58),Planilha2!$E$2:$E$28,0)))</f>
        <v/>
      </c>
      <c r="D58" s="50" t="str">
        <f t="shared" si="0"/>
        <v/>
      </c>
      <c r="F58" s="43"/>
    </row>
    <row r="59" spans="2:6">
      <c r="B59" s="48" t="str">
        <f>IFERROR(INDEX(Planilha2!$C$2:$C$28,MATCH(ROWS($B$34:B59),Planilha2!$E$2:$E$28,0)),"")</f>
        <v/>
      </c>
      <c r="C59" s="49" t="str">
        <f>IF(B59="","",INDEX(Planilha2!$D$2:$D$28,MATCH(ROWS($B$34:B59),Planilha2!$E$2:$E$28,0)))</f>
        <v/>
      </c>
      <c r="D59" s="50" t="str">
        <f t="shared" si="0"/>
        <v/>
      </c>
      <c r="F59" s="43"/>
    </row>
    <row r="60" spans="2:6">
      <c r="B60" s="48" t="str">
        <f>IFERROR(INDEX(Planilha2!$C$2:$C$28,MATCH(ROWS($B$34:B60),Planilha2!$E$2:$E$28,0)),"")</f>
        <v/>
      </c>
      <c r="C60" s="49" t="str">
        <f>IF(B60="","",INDEX(Planilha2!$D$2:$D$28,MATCH(ROWS($B$34:B60),Planilha2!$E$2:$E$28,0)))</f>
        <v/>
      </c>
      <c r="D60" s="50" t="str">
        <f t="shared" si="0"/>
        <v/>
      </c>
      <c r="F60" s="43"/>
    </row>
    <row r="61" spans="2:6">
      <c r="B61" s="48"/>
    </row>
  </sheetData>
  <sortState ref="B34:E45">
    <sortCondition ref="D34:D45" descending="1"/>
  </sortState>
  <mergeCells count="11">
    <mergeCell ref="B10:D10"/>
    <mergeCell ref="B11:C11"/>
    <mergeCell ref="B12:C12"/>
    <mergeCell ref="B13:C13"/>
    <mergeCell ref="B15:D15"/>
    <mergeCell ref="B16:C16"/>
    <mergeCell ref="B17:C17"/>
    <mergeCell ref="B18:C18"/>
    <mergeCell ref="B19:C19"/>
    <mergeCell ref="B20:C20"/>
    <mergeCell ref="B22:C22"/>
  </mergeCells>
  <dataValidations count="1">
    <dataValidation type="list" allowBlank="1" showInputMessage="1" showErrorMessage="1" sqref="C30">
      <formula1>"CONSERVADOR,MODERADO,ARROJADO"</formula1>
    </dataValidation>
  </dataValidations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22" sqref="A22:C28"/>
    </sheetView>
  </sheetViews>
  <sheetFormatPr defaultColWidth="9" defaultRowHeight="15" outlineLevelCol="4"/>
  <cols>
    <col min="1" max="1" width="36.8571428571429" customWidth="1"/>
    <col min="2" max="2" width="14.7142857142857" customWidth="1"/>
    <col min="3" max="3" width="24.8571428571429" customWidth="1"/>
    <col min="4" max="4" width="8.28571428571429" customWidth="1"/>
    <col min="5" max="5" width="13" hidden="1" customWidth="1"/>
  </cols>
  <sheetData>
    <row r="1" spans="1:5">
      <c r="A1" s="1" t="s">
        <v>24</v>
      </c>
      <c r="B1" s="2" t="s">
        <v>17</v>
      </c>
      <c r="C1" s="2" t="s">
        <v>25</v>
      </c>
      <c r="D1" s="3" t="s">
        <v>26</v>
      </c>
      <c r="E1" t="s">
        <v>27</v>
      </c>
    </row>
    <row r="2" spans="1:5">
      <c r="A2" s="1" t="str">
        <f t="shared" ref="A2:A28" si="0">B2&amp;"-"&amp;C2</f>
        <v>CONSERVADOR-Tesouro Selic</v>
      </c>
      <c r="B2" s="1" t="s">
        <v>28</v>
      </c>
      <c r="C2" s="1" t="s">
        <v>29</v>
      </c>
      <c r="D2" s="4">
        <v>0.3</v>
      </c>
      <c r="E2" t="str">
        <f>IF(B2=Planilha1!$C$30,COUNTIF($B$2:B2,Planilha1!$C$30),"")</f>
        <v/>
      </c>
    </row>
    <row r="3" spans="1:5">
      <c r="A3" s="1" t="str">
        <f t="shared" si="0"/>
        <v>CONSERVADOR-CDB com liquidez diária</v>
      </c>
      <c r="B3" s="1" t="s">
        <v>28</v>
      </c>
      <c r="C3" s="1" t="s">
        <v>30</v>
      </c>
      <c r="D3" s="4">
        <v>0.25</v>
      </c>
      <c r="E3" t="str">
        <f>IF(B3=Planilha1!$C$30,COUNTIF($B$2:B3,Planilha1!$C$30),"")</f>
        <v/>
      </c>
    </row>
    <row r="4" spans="1:5">
      <c r="A4" s="1" t="str">
        <f t="shared" si="0"/>
        <v>CONSERVADOR-LCI / LCA</v>
      </c>
      <c r="B4" s="1" t="s">
        <v>28</v>
      </c>
      <c r="C4" s="1" t="s">
        <v>31</v>
      </c>
      <c r="D4" s="4">
        <v>0.15</v>
      </c>
      <c r="E4" t="str">
        <f>IF(B4=Planilha1!$C$30,COUNTIF($B$2:B4,Planilha1!$C$30),"")</f>
        <v/>
      </c>
    </row>
    <row r="5" spans="1:5">
      <c r="A5" s="1" t="str">
        <f t="shared" si="0"/>
        <v>CONSERVADOR-Fundos DI / renda fixa</v>
      </c>
      <c r="B5" s="1" t="s">
        <v>28</v>
      </c>
      <c r="C5" s="1" t="s">
        <v>32</v>
      </c>
      <c r="D5" s="4">
        <v>0.1</v>
      </c>
      <c r="E5" t="str">
        <f>IF(B5=Planilha1!$C$30,COUNTIF($B$2:B5,Planilha1!$C$30),"")</f>
        <v/>
      </c>
    </row>
    <row r="6" spans="1:5">
      <c r="A6" s="1" t="str">
        <f t="shared" si="0"/>
        <v>CONSERVADOR-Tesouro IPCA+</v>
      </c>
      <c r="B6" s="1" t="s">
        <v>28</v>
      </c>
      <c r="C6" s="1" t="s">
        <v>33</v>
      </c>
      <c r="D6" s="4">
        <v>0.1</v>
      </c>
      <c r="E6" t="str">
        <f>IF(B6=Planilha1!$C$30,COUNTIF($B$2:B6,Planilha1!$C$30),"")</f>
        <v/>
      </c>
    </row>
    <row r="7" spans="1:5">
      <c r="A7" s="1" t="str">
        <f t="shared" si="0"/>
        <v>CONSERVADOR-Tesouro Prefixado</v>
      </c>
      <c r="B7" s="1" t="s">
        <v>28</v>
      </c>
      <c r="C7" s="1" t="s">
        <v>34</v>
      </c>
      <c r="D7" s="4">
        <v>0.05</v>
      </c>
      <c r="E7" t="str">
        <f>IF(B7=Planilha1!$C$30,COUNTIF($B$2:B7,Planilha1!$C$30),"")</f>
        <v/>
      </c>
    </row>
    <row r="8" spans="1:5">
      <c r="A8" s="1" t="str">
        <f t="shared" si="0"/>
        <v>CONSERVADOR-Debêntures</v>
      </c>
      <c r="B8" s="1" t="s">
        <v>28</v>
      </c>
      <c r="C8" s="1" t="s">
        <v>35</v>
      </c>
      <c r="D8" s="4">
        <v>0.03</v>
      </c>
      <c r="E8" t="str">
        <f>IF(B8=Planilha1!$C$30,COUNTIF($B$2:B8,Planilha1!$C$30),"")</f>
        <v/>
      </c>
    </row>
    <row r="9" spans="1:5">
      <c r="A9" s="1" t="str">
        <f t="shared" si="0"/>
        <v>CONSERVADOR-Ouro</v>
      </c>
      <c r="B9" s="1" t="s">
        <v>28</v>
      </c>
      <c r="C9" s="1" t="s">
        <v>36</v>
      </c>
      <c r="D9" s="4">
        <v>0.02</v>
      </c>
      <c r="E9" t="str">
        <f>IF(B9=Planilha1!$C$30,COUNTIF($B$2:B9,Planilha1!$C$30),"")</f>
        <v/>
      </c>
    </row>
    <row r="10" spans="1:5">
      <c r="A10" s="1" t="str">
        <f t="shared" si="0"/>
        <v>MODERADO-CDB com liquidez diária</v>
      </c>
      <c r="B10" s="1" t="s">
        <v>18</v>
      </c>
      <c r="C10" s="1" t="s">
        <v>30</v>
      </c>
      <c r="D10" s="4">
        <v>0.1</v>
      </c>
      <c r="E10">
        <f>IF(B10=Planilha1!$C$30,COUNTIF($B$2:B10,Planilha1!$C$30),"")</f>
        <v>1</v>
      </c>
    </row>
    <row r="11" spans="1:5">
      <c r="A11" s="1" t="str">
        <f t="shared" si="0"/>
        <v>MODERADO-LCI / LCA</v>
      </c>
      <c r="B11" s="1" t="s">
        <v>18</v>
      </c>
      <c r="C11" s="1" t="s">
        <v>31</v>
      </c>
      <c r="D11" s="4">
        <v>0.1</v>
      </c>
      <c r="E11">
        <f>IF(B11=Planilha1!$C$30,COUNTIF($B$2:B11,Planilha1!$C$30),"")</f>
        <v>2</v>
      </c>
    </row>
    <row r="12" spans="1:5">
      <c r="A12" s="1" t="str">
        <f t="shared" si="0"/>
        <v>MODERADO-Tesouro Selic</v>
      </c>
      <c r="B12" s="1" t="s">
        <v>18</v>
      </c>
      <c r="C12" s="1" t="s">
        <v>29</v>
      </c>
      <c r="D12" s="4">
        <v>0.1</v>
      </c>
      <c r="E12">
        <f>IF(B12=Planilha1!$C$30,COUNTIF($B$2:B12,Planilha1!$C$30),"")</f>
        <v>3</v>
      </c>
    </row>
    <row r="13" spans="1:5">
      <c r="A13" s="1" t="str">
        <f t="shared" si="0"/>
        <v>MODERADO-Tesouro IPCA+</v>
      </c>
      <c r="B13" s="1" t="s">
        <v>18</v>
      </c>
      <c r="C13" s="1" t="s">
        <v>33</v>
      </c>
      <c r="D13" s="4">
        <v>0.15</v>
      </c>
      <c r="E13">
        <f>IF(B13=Planilha1!$C$30,COUNTIF($B$2:B13,Planilha1!$C$30),"")</f>
        <v>4</v>
      </c>
    </row>
    <row r="14" spans="1:5">
      <c r="A14" s="1" t="str">
        <f t="shared" si="0"/>
        <v>MODERADO-Tesouro Prefixado</v>
      </c>
      <c r="B14" s="1" t="s">
        <v>18</v>
      </c>
      <c r="C14" s="1" t="s">
        <v>34</v>
      </c>
      <c r="D14" s="4">
        <v>0.05</v>
      </c>
      <c r="E14">
        <f>IF(B14=Planilha1!$C$30,COUNTIF($B$2:B14,Planilha1!$C$30),"")</f>
        <v>5</v>
      </c>
    </row>
    <row r="15" spans="1:5">
      <c r="A15" s="1" t="str">
        <f t="shared" si="0"/>
        <v>MODERADO-FIIs</v>
      </c>
      <c r="B15" s="1" t="s">
        <v>18</v>
      </c>
      <c r="C15" s="1" t="s">
        <v>37</v>
      </c>
      <c r="D15" s="4">
        <v>0.08</v>
      </c>
      <c r="E15">
        <f>IF(B15=Planilha1!$C$30,COUNTIF($B$2:B15,Planilha1!$C$30),"")</f>
        <v>6</v>
      </c>
    </row>
    <row r="16" spans="1:5">
      <c r="A16" s="1" t="str">
        <f t="shared" si="0"/>
        <v>MODERADO-FIAGRO</v>
      </c>
      <c r="B16" s="1" t="s">
        <v>18</v>
      </c>
      <c r="C16" s="1" t="s">
        <v>38</v>
      </c>
      <c r="D16" s="4">
        <v>0.04</v>
      </c>
      <c r="E16">
        <f>IF(B16=Planilha1!$C$30,COUNTIF($B$2:B16,Planilha1!$C$30),"")</f>
        <v>7</v>
      </c>
    </row>
    <row r="17" spans="1:5">
      <c r="A17" s="1" t="str">
        <f t="shared" si="0"/>
        <v>MODERADO-Ações por setor</v>
      </c>
      <c r="B17" s="1" t="s">
        <v>18</v>
      </c>
      <c r="C17" s="1" t="s">
        <v>39</v>
      </c>
      <c r="D17" s="4">
        <v>0.12</v>
      </c>
      <c r="E17">
        <f>IF(B17=Planilha1!$C$30,COUNTIF($B$2:B17,Planilha1!$C$30),"")</f>
        <v>8</v>
      </c>
    </row>
    <row r="18" spans="1:5">
      <c r="A18" s="1" t="str">
        <f t="shared" si="0"/>
        <v>MODERADO-BDRs</v>
      </c>
      <c r="B18" s="1" t="s">
        <v>18</v>
      </c>
      <c r="C18" s="1" t="s">
        <v>40</v>
      </c>
      <c r="D18" s="4">
        <v>0.05</v>
      </c>
      <c r="E18">
        <f>IF(B18=Planilha1!$C$30,COUNTIF($B$2:B18,Planilha1!$C$30),"")</f>
        <v>9</v>
      </c>
    </row>
    <row r="19" spans="1:5">
      <c r="A19" s="1" t="str">
        <f t="shared" si="0"/>
        <v>MODERADO-ETFs internacionais</v>
      </c>
      <c r="B19" s="1" t="s">
        <v>18</v>
      </c>
      <c r="C19" s="1" t="s">
        <v>41</v>
      </c>
      <c r="D19" s="4">
        <v>0.1</v>
      </c>
      <c r="E19">
        <f>IF(B19=Planilha1!$C$30,COUNTIF($B$2:B19,Planilha1!$C$30),"")</f>
        <v>10</v>
      </c>
    </row>
    <row r="20" spans="1:5">
      <c r="A20" s="1" t="str">
        <f t="shared" si="0"/>
        <v>MODERADO-Ouro</v>
      </c>
      <c r="B20" s="1" t="s">
        <v>18</v>
      </c>
      <c r="C20" s="1" t="s">
        <v>36</v>
      </c>
      <c r="D20" s="4">
        <v>0.03</v>
      </c>
      <c r="E20">
        <f>IF(B20=Planilha1!$C$30,COUNTIF($B$2:B20,Planilha1!$C$30),"")</f>
        <v>11</v>
      </c>
    </row>
    <row r="21" spans="1:5">
      <c r="A21" s="1" t="str">
        <f t="shared" si="0"/>
        <v>MODERADO-Fundos DI / renda fixa</v>
      </c>
      <c r="B21" s="1" t="s">
        <v>18</v>
      </c>
      <c r="C21" s="1" t="s">
        <v>32</v>
      </c>
      <c r="D21" s="4">
        <v>0.08</v>
      </c>
      <c r="E21">
        <f>IF(B21=Planilha1!$C$30,COUNTIF($B$2:B21,Planilha1!$C$30),"")</f>
        <v>12</v>
      </c>
    </row>
    <row r="22" spans="1:5">
      <c r="A22" s="1" t="str">
        <f t="shared" si="0"/>
        <v>ARROJADO-FIIs</v>
      </c>
      <c r="B22" s="1" t="s">
        <v>42</v>
      </c>
      <c r="C22" s="1" t="s">
        <v>37</v>
      </c>
      <c r="D22" s="4">
        <v>0.15</v>
      </c>
      <c r="E22" t="str">
        <f>IF(B22=Planilha1!$C$30,COUNTIF($B$2:B22,Planilha1!$C$30),"")</f>
        <v/>
      </c>
    </row>
    <row r="23" spans="1:5">
      <c r="A23" s="1" t="str">
        <f t="shared" si="0"/>
        <v>ARROJADO-FIAGRO</v>
      </c>
      <c r="B23" s="1" t="s">
        <v>42</v>
      </c>
      <c r="C23" s="1" t="s">
        <v>38</v>
      </c>
      <c r="D23" s="4">
        <v>0.1</v>
      </c>
      <c r="E23" t="str">
        <f>IF(B23=Planilha1!$C$30,COUNTIF($B$2:B23,Planilha1!$C$30),"")</f>
        <v/>
      </c>
    </row>
    <row r="24" spans="1:5">
      <c r="A24" s="1" t="str">
        <f t="shared" si="0"/>
        <v>ARROJADO-Ações por setor</v>
      </c>
      <c r="B24" s="1" t="s">
        <v>42</v>
      </c>
      <c r="C24" s="1" t="s">
        <v>39</v>
      </c>
      <c r="D24" s="4">
        <v>0.3</v>
      </c>
      <c r="E24" t="str">
        <f>IF(B24=Planilha1!$C$30,COUNTIF($B$2:B24,Planilha1!$C$30),"")</f>
        <v/>
      </c>
    </row>
    <row r="25" spans="1:5">
      <c r="A25" s="1" t="str">
        <f t="shared" si="0"/>
        <v>ARROJADO-BDRs</v>
      </c>
      <c r="B25" s="1" t="s">
        <v>42</v>
      </c>
      <c r="C25" s="1" t="s">
        <v>40</v>
      </c>
      <c r="D25" s="4">
        <v>0.15</v>
      </c>
      <c r="E25" t="str">
        <f>IF(B25=Planilha1!$C$30,COUNTIF($B$2:B25,Planilha1!$C$30),"")</f>
        <v/>
      </c>
    </row>
    <row r="26" spans="1:5">
      <c r="A26" s="1" t="str">
        <f t="shared" si="0"/>
        <v>ARROJADO-ETFs internacionais</v>
      </c>
      <c r="B26" s="1" t="s">
        <v>42</v>
      </c>
      <c r="C26" s="1" t="s">
        <v>41</v>
      </c>
      <c r="D26" s="4">
        <v>0.2</v>
      </c>
      <c r="E26" t="str">
        <f>IF(B26=Planilha1!$C$30,COUNTIF($B$2:B26,Planilha1!$C$30),"")</f>
        <v/>
      </c>
    </row>
    <row r="27" spans="1:5">
      <c r="A27" s="1" t="str">
        <f t="shared" si="0"/>
        <v>ARROJADO-Criptomoedas</v>
      </c>
      <c r="B27" s="1" t="s">
        <v>42</v>
      </c>
      <c r="C27" s="1" t="s">
        <v>43</v>
      </c>
      <c r="D27" s="4">
        <v>0.1</v>
      </c>
      <c r="E27" t="str">
        <f>IF(B27=Planilha1!$C$30,COUNTIF($B$2:B27,Planilha1!$C$30),"")</f>
        <v/>
      </c>
    </row>
    <row r="28" spans="1:5">
      <c r="A28" s="1" t="str">
        <f t="shared" si="0"/>
        <v>ARROJADO-Opções / contratos futuros</v>
      </c>
      <c r="B28" s="1" t="s">
        <v>42</v>
      </c>
      <c r="C28" s="1" t="s">
        <v>44</v>
      </c>
      <c r="D28" s="4">
        <v>0</v>
      </c>
      <c r="E28" t="str">
        <f>IF(B28=Planilha1!$C$30,COUNTIF($B$2:B28,Planilha1!$C$30),"")</f>
        <v/>
      </c>
    </row>
    <row r="29" spans="1:5">
      <c r="A29" s="1"/>
      <c r="B29" s="1"/>
      <c r="C29" s="1"/>
      <c r="D29" s="4"/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Verônica Reis</dc:creator>
  <cp:lastModifiedBy>WPS_1780965974</cp:lastModifiedBy>
  <dcterms:created xsi:type="dcterms:W3CDTF">2026-10-14T00:52:00Z</dcterms:created>
  <dcterms:modified xsi:type="dcterms:W3CDTF">2026-10-15T23:29:26Z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37A1764B396F4DE4A9EEB3B57551D19B_12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